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A648509-E5EE-473F-A6A4-B9AF287CEC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ivi des Tok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E14" i="1"/>
  <c r="D14" i="1"/>
  <c r="C14" i="1"/>
  <c r="P14" i="1" s="1"/>
  <c r="P13" i="1"/>
  <c r="O13" i="1"/>
  <c r="P12" i="1"/>
  <c r="O12" i="1"/>
  <c r="P11" i="1"/>
  <c r="O11" i="1"/>
  <c r="P10" i="1"/>
  <c r="O10" i="1"/>
  <c r="P9" i="1"/>
  <c r="O9" i="1"/>
  <c r="O14" i="1" l="1"/>
  <c r="B6" i="1" s="1"/>
  <c r="F6" i="1"/>
</calcChain>
</file>

<file path=xl/sharedStrings.xml><?xml version="1.0" encoding="utf-8"?>
<sst xmlns="http://schemas.openxmlformats.org/spreadsheetml/2006/main" count="26" uniqueCount="26">
  <si>
    <t>📊 TABLEAU DE BORD — SUIVI DE CONSOMMATION DES TOKENS</t>
  </si>
  <si>
    <t>Saisissez chaque semaine le nombre de tokens consommés par membre. Les totaux et moyennes sont calculés automatiquement.</t>
  </si>
  <si>
    <t>TOTAL GLOBAL CONSOMMÉ</t>
  </si>
  <si>
    <t>MOYENNE PAR MEMBRE</t>
  </si>
  <si>
    <t>MEMBRES ACTIFS</t>
  </si>
  <si>
    <t>Membre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</si>
  <si>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</si>
  <si>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</si>
  <si>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</si>
  <si>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</si>
  <si>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</si>
  <si>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</si>
  <si>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</si>
  <si>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</si>
  <si>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</si>
  <si>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</si>
  <si>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</si>
  <si>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</si>
  <si>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Total</t>
  </si>
  <si>
    <t>Moyenne / Sem.</t>
  </si>
  <si>
    <t>Ahmed</t>
  </si>
  <si>
    <t>Mostapha</t>
  </si>
  <si>
    <t>Adam</t>
  </si>
  <si>
    <t>Joao</t>
  </si>
  <si>
    <t>Barsbold</t>
  </si>
  <si>
    <t>TOTAL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</si>
</sst>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tokens&quot;"/>
    <numFmt numFmtId="165" formatCode="#,##0\ &quot;personnes&quot;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4748B"/>
      <name val="Calibri"/>
    </font>
    <font>
      <b/>
      <sz val="9"/>
      <color rgb="FF475569"/>
      <name val="Calibri"/>
    </font>
    <font>
      <b/>
      <sz val="14"/>
      <color rgb="FF2563EB"/>
      <name val="Calibri"/>
    </font>
    <font>
      <b/>
      <sz val="14"/>
      <color rgb="FF0D9488"/>
      <name val="Calibri"/>
    </font>
    <font>
      <b/>
      <sz val="14"/>
      <color rgb="FF6366F1"/>
      <name val="Calibri"/>
    </font>
    <font>
      <b/>
      <sz val="11"/>
      <color rgb="FFFFFFFF"/>
      <name val="Calibri"/>
    </font>
    <font>
      <b/>
      <sz val="11"/>
      <color rgb="FF1E293B"/>
      <name val="Calibri"/>
    </font>
    <font>
      <sz val="11"/>
      <name val="Calibri"/>
    </font>
    <font>
      <b/>
      <sz val="11"/>
      <color rgb="FF2563EB"/>
      <name val="Calibri"/>
    </font>
    <font>
      <i/>
      <sz val="10"/>
      <color rgb="FF475569"/>
      <name val="Calibri"/>
    </font>
    <font>
      <b/>
      <sz val="12"/>
      <color rgb="FF1E3A8A"/>
      <name val="Calibri"/>
    </font>
    <font>
      <b/>
      <sz val="10"/>
      <color rgb="FF475569"/>
      <name val="Calibri"/>
    </font>
    <font>
      <sz val="9.5"/>
      <color rgb="FF64748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475569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E2E8F0"/>
      </patternFill>
    </fill>
    <fill>
      <patternFill patternType="solid">
        <fgColor rgb="FFBFDBFE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medium">
        <color rgb="FF1E293B"/>
      </top>
      <bottom style="medium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64748B"/>
      </top>
      <bottom style="double">
        <color rgb="FF1E293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3" fontId="9" fillId="4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3" fontId="11" fillId="4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 indent="1"/>
    </xf>
    <xf numFmtId="3" fontId="9" fillId="3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0" fontId="8" fillId="10" borderId="3" xfId="0" applyFont="1" applyFill="1" applyBorder="1" applyAlignment="1">
      <alignment horizontal="left" vertical="center" indent="1"/>
    </xf>
    <xf numFmtId="3" fontId="8" fillId="10" borderId="3" xfId="0" applyNumberFormat="1" applyFont="1" applyFill="1" applyBorder="1" applyAlignment="1">
      <alignment horizontal="right" vertical="center"/>
    </xf>
    <xf numFmtId="3" fontId="12" fillId="11" borderId="3" xfId="0" applyNumberFormat="1" applyFont="1" applyFill="1" applyBorder="1" applyAlignment="1">
      <alignment horizontal="right" vertical="center"/>
    </xf>
    <xf numFmtId="3" fontId="13" fillId="10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1"/>
  <sheetViews>
    <sheetView tabSelected="1" zoomScale="70" zoomScaleNormal="70" workbookViewId="0">
      <selection activeCell="B20" sqref="B20:P20"/>
    </sheetView>
  </sheetViews>
  <sheetFormatPr baseColWidth="10" defaultColWidth="8.88671875" defaultRowHeight="14.4" x14ac:dyDescent="0.3"/>
  <cols>
    <col min="1" max="1" width="3" customWidth="1"/>
    <col min="2" max="2" width="18" customWidth="1"/>
    <col min="3" max="14" width="14" customWidth="1"/>
    <col min="15" max="16" width="16" customWidth="1"/>
  </cols>
  <sheetData>
    <row r="2" spans="2:16" ht="40.049999999999997" customHeight="1" x14ac:dyDescent="0.3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ht="19.95" customHeight="1" x14ac:dyDescent="0.3"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5" spans="2:16" ht="18" customHeight="1" x14ac:dyDescent="0.3">
      <c r="B5" s="18" t="s">
        <v>2</v>
      </c>
      <c r="C5" s="18"/>
      <c r="D5" s="18"/>
      <c r="F5" s="18" t="s">
        <v>3</v>
      </c>
      <c r="G5" s="18"/>
      <c r="H5" s="18"/>
      <c r="J5" s="18" t="s">
        <v>4</v>
      </c>
      <c r="K5" s="18"/>
      <c r="L5" s="18"/>
    </row>
    <row r="6" spans="2:16" ht="28.05" customHeight="1" x14ac:dyDescent="0.3">
      <c r="B6" s="19">
        <f>O14</f>
        <v>0</v>
      </c>
      <c r="C6" s="19"/>
      <c r="D6" s="19"/>
      <c r="F6" s="20">
        <f>AVERAGE(O9:O13)</f>
        <v>0</v>
      </c>
      <c r="G6" s="20"/>
      <c r="H6" s="20"/>
      <c r="J6" s="21">
        <v>5</v>
      </c>
      <c r="K6" s="21"/>
      <c r="L6" s="21"/>
    </row>
    <row r="8" spans="2:16" ht="28.05" customHeight="1" x14ac:dyDescent="0.3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2" t="s">
        <v>18</v>
      </c>
      <c r="P8" s="3" t="s">
        <v>19</v>
      </c>
    </row>
    <row r="9" spans="2:16" ht="24" customHeight="1" x14ac:dyDescent="0.3">
      <c r="B9" s="4" t="s">
        <v>20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>
        <f>SUM(C9:N9)</f>
        <v>0</v>
      </c>
      <c r="P9" s="7">
        <f t="shared" ref="P9:P14" si="0">IFERROR(AVERAGEIF(C9:N9, "&gt;0"), 0)</f>
        <v>0</v>
      </c>
    </row>
    <row r="10" spans="2:16" ht="24" customHeight="1" x14ac:dyDescent="0.3">
      <c r="B10" s="8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>
        <f>SUM(C10:N10)</f>
        <v>0</v>
      </c>
      <c r="P10" s="11">
        <f t="shared" si="0"/>
        <v>0</v>
      </c>
    </row>
    <row r="11" spans="2:16" ht="24" customHeight="1" x14ac:dyDescent="0.3">
      <c r="B11" s="4" t="s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>
        <f>SUM(C11:N11)</f>
        <v>0</v>
      </c>
      <c r="P11" s="7">
        <f t="shared" si="0"/>
        <v>0</v>
      </c>
    </row>
    <row r="12" spans="2:16" ht="24" customHeight="1" x14ac:dyDescent="0.3">
      <c r="B12" s="8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>SUM(C12:N12)</f>
        <v>0</v>
      </c>
      <c r="P12" s="11">
        <f t="shared" si="0"/>
        <v>0</v>
      </c>
    </row>
    <row r="13" spans="2:16" ht="24" customHeight="1" x14ac:dyDescent="0.3">
      <c r="B13" s="4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>
        <f>SUM(C13:N13)</f>
        <v>0</v>
      </c>
      <c r="P13" s="7">
        <f t="shared" si="0"/>
        <v>0</v>
      </c>
    </row>
    <row r="14" spans="2:16" ht="25.95" customHeight="1" x14ac:dyDescent="0.3">
      <c r="B14" s="12" t="s">
        <v>25</v>
      </c>
      <c r="C14" s="13">
        <f t="shared" ref="C14:O14" si="1">SUM(C9:C13)</f>
        <v>0</v>
      </c>
      <c r="D14" s="13">
        <f t="shared" si="1"/>
        <v>0</v>
      </c>
      <c r="E14" s="13">
        <f t="shared" si="1"/>
        <v>0</v>
      </c>
      <c r="F14" s="13">
        <f t="shared" si="1"/>
        <v>0</v>
      </c>
      <c r="G14" s="13">
        <f t="shared" si="1"/>
        <v>0</v>
      </c>
      <c r="H14" s="13">
        <f t="shared" si="1"/>
        <v>0</v>
      </c>
      <c r="I14" s="13">
        <f t="shared" si="1"/>
        <v>0</v>
      </c>
      <c r="J14" s="13">
        <f t="shared" si="1"/>
        <v>0</v>
      </c>
      <c r="K14" s="13">
        <f t="shared" si="1"/>
        <v>0</v>
      </c>
      <c r="L14" s="13">
        <f t="shared" si="1"/>
        <v>0</v>
      </c>
      <c r="M14" s="13">
        <f t="shared" si="1"/>
        <v>0</v>
      </c>
      <c r="N14" s="13">
        <f t="shared" si="1"/>
        <v>0</v>
      </c>
      <c r="O14" s="14">
        <f t="shared" si="1"/>
        <v>0</v>
      </c>
      <c r="P14" s="15">
        <f t="shared" si="0"/>
        <v>0</v>
      </c>
    </row>
    <row r="17" spans="2:16" x14ac:dyDescent="0.3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x14ac:dyDescent="0.3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2:16" x14ac:dyDescent="0.3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2:16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2:16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</sheetData>
  <mergeCells count="13">
    <mergeCell ref="B19:P19"/>
    <mergeCell ref="B20:P20"/>
    <mergeCell ref="B21:P21"/>
    <mergeCell ref="B6:D6"/>
    <mergeCell ref="F6:H6"/>
    <mergeCell ref="J6:L6"/>
    <mergeCell ref="B17:P17"/>
    <mergeCell ref="B18:P18"/>
    <mergeCell ref="B2:O2"/>
    <mergeCell ref="B3:O3"/>
    <mergeCell ref="B5:D5"/>
    <mergeCell ref="F5:H5"/>
    <mergeCell ref="J5:L5"/>
  </mergeCells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des Tokens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2026-10-12T11:31:06Z</dcterms:created>
  <dcterms:modified xsi:type="dcterms:W3CDTF">2026-10-12T11:33:05Z</dcterms:modified>
  <cp:category/>
</cp:coreProperties>
</file>